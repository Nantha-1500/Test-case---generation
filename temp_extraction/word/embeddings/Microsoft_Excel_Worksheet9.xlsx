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xr:revisionPtr revIDLastSave="0" documentId="13_ncr:801_{5D4FF297-E6B7-4AB1-BEC0-F7CAE389AF73}" xr6:coauthVersionLast="47" xr6:coauthVersionMax="47" xr10:uidLastSave="{00000000-0000-0000-0000-000000000000}"/>
  <bookViews>
    <workbookView xWindow="1520" yWindow="1520" windowWidth="14620" windowHeight="10970" xr2:uid="{00000000-000D-0000-FFFF-FFFF00000000}"/>
  </bookViews>
  <sheets>
    <sheet name="Security Coverage" sheetId="2" r:id="rId1"/>
  </sheets>
  <calcPr calcId="191029"/>
  <oleSize ref="A1:Q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<sst xmlns="http://schemas.openxmlformats.org/spreadsheetml/2006/main" count="39" uniqueCount="28">
  <si>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Total</t>
  </si>
  <si>
    <t>S No</t>
  </si>
  <si>
    <t>Description of Security</t>
  </si>
  <si>
    <t>Amount</t>
  </si>
  <si>
    <t>Type of Charge</t>
  </si>
  <si>
    <t>Exclusive charge</t>
  </si>
  <si>
    <t>1st Charge</t>
  </si>
  <si>
    <t>2nd Charge</t>
  </si>
  <si>
    <t>Our value</t>
  </si>
  <si>
    <t>Term Loan</t>
  </si>
  <si>
    <t>Working Capital</t>
  </si>
  <si>
    <t>Hypothecation of Stocks</t>
  </si>
  <si>
    <t>Exclusive</t>
  </si>
  <si>
    <t>First Paripassu</t>
  </si>
  <si>
    <t>Second Paripassu</t>
  </si>
  <si>
    <t>%</t>
  </si>
  <si>
    <t>Existing Charge</t>
  </si>
  <si>
    <t>Residual Charge</t>
  </si>
  <si>
    <t>Hypothecation of Current Asset</t>
  </si>
  <si>
    <t>Hypothecation of fixed assets</t>
  </si>
  <si>
    <t>Limit Amount</t>
  </si>
  <si>
    <t>Security Amount</t>
  </si>
  <si>
    <t>Primary</t>
  </si>
  <si>
    <t>Collateral</t>
  </si>
  <si>
    <t>Security Comfort</t>
  </si>
  <si>
    <t>% of share</t>
  </si>
  <si>
    <t>Value</t>
  </si>
  <si>
    <t>In case of unsecured loan, security coverage table should not 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</si>
</sst>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/>
    <xf numFmtId="0" fontId="2" fillId="0" borderId="1" xfId="0" applyFont="1" applyBorder="1"/>
    <xf numFmtId="2" fontId="2" fillId="0" borderId="1" xfId="0" applyNumberFormat="1" applyFont="1" applyBorder="1"/>
    <xf numFmtId="10" fontId="2" fillId="0" borderId="1" xfId="0" applyNumberFormat="1" applyFont="1" applyBorder="1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G7" sqref="G7"/>
    </sheetView>
  </sheetViews>
  <sheetFormatPr defaultRowHeight="14.5" x14ac:dyDescent="0.35"/>
  <cols>
    <col min="1" max="1" width="5.1796875" bestFit="1" customWidth="1"/>
    <col min="2" max="2" width="24.7265625" style="3" customWidth="1"/>
    <col min="3" max="3" width="11" customWidth="1"/>
    <col min="4" max="4" width="10.54296875" bestFit="1" customWidth="1"/>
    <col min="5" max="5" width="10.7265625" style="3" customWidth="1"/>
    <col min="6" max="6" width="11.1796875" customWidth="1"/>
    <col min="7" max="7" width="10.54296875" customWidth="1"/>
    <col min="8" max="8" width="10.26953125" bestFit="1" customWidth="1"/>
    <col min="9" max="9" width="11" bestFit="1" customWidth="1"/>
    <col min="10" max="12" width="9.81640625" customWidth="1"/>
    <col min="13" max="13" width="10.54296875" bestFit="1" customWidth="1"/>
    <col min="14" max="14" width="11.453125" bestFit="1" customWidth="1"/>
    <col min="17" max="17" width="0" hidden="1" customWidth="1"/>
  </cols>
  <sheetData>
    <row r="1" spans="1:17" x14ac:dyDescent="0.35">
      <c r="A1" s="32" t="s">
        <v>1</v>
      </c>
      <c r="B1" s="22" t="s">
        <v>2</v>
      </c>
      <c r="C1" s="20" t="s">
        <v>20</v>
      </c>
      <c r="D1" s="20" t="s">
        <v>21</v>
      </c>
      <c r="E1" s="22" t="s">
        <v>4</v>
      </c>
      <c r="F1" s="22" t="s">
        <v>5</v>
      </c>
      <c r="G1" s="35" t="s">
        <v>6</v>
      </c>
      <c r="H1" s="35"/>
      <c r="I1" s="28" t="s">
        <v>7</v>
      </c>
      <c r="J1" s="29"/>
      <c r="K1" s="29"/>
      <c r="L1" s="30"/>
      <c r="M1" s="22" t="s">
        <v>8</v>
      </c>
      <c r="N1" s="22" t="s">
        <v>24</v>
      </c>
    </row>
    <row r="2" spans="1:17" s="3" customFormat="1" ht="27" x14ac:dyDescent="0.35">
      <c r="A2" s="33"/>
      <c r="B2" s="23"/>
      <c r="C2" s="20"/>
      <c r="D2" s="20"/>
      <c r="E2" s="23"/>
      <c r="F2" s="23"/>
      <c r="G2" s="2" t="s">
        <v>15</v>
      </c>
      <c r="H2" s="2" t="s">
        <v>3</v>
      </c>
      <c r="I2" s="1" t="s">
        <v>16</v>
      </c>
      <c r="J2" s="1" t="s">
        <v>17</v>
      </c>
      <c r="K2" s="19" t="s">
        <v>25</v>
      </c>
      <c r="L2" s="19" t="s">
        <v>26</v>
      </c>
      <c r="M2" s="23"/>
      <c r="N2" s="23"/>
    </row>
    <row r="3" spans="1:17" s="3" customFormat="1" x14ac:dyDescent="0.35">
      <c r="A3" s="24" t="s">
        <v>22</v>
      </c>
      <c r="B3" s="25"/>
      <c r="C3" s="5"/>
      <c r="D3" s="5"/>
      <c r="E3" s="6"/>
      <c r="F3" s="6"/>
      <c r="G3" s="5"/>
      <c r="H3" s="5"/>
      <c r="I3" s="6"/>
      <c r="J3" s="6"/>
      <c r="K3" s="6"/>
      <c r="L3" s="6"/>
      <c r="M3" s="6"/>
      <c r="N3" s="6"/>
    </row>
    <row r="4" spans="1:17" x14ac:dyDescent="0.35">
      <c r="A4" s="34" t="s">
        <v>10</v>
      </c>
      <c r="B4" s="34"/>
      <c r="C4" s="34"/>
      <c r="D4" s="34"/>
      <c r="E4" s="34"/>
      <c r="F4" s="34"/>
      <c r="G4" s="34"/>
      <c r="H4" s="34"/>
      <c r="I4" s="34"/>
      <c r="J4" s="34"/>
      <c r="K4" s="17"/>
      <c r="L4" s="17"/>
      <c r="M4" s="7"/>
      <c r="N4" s="7"/>
    </row>
    <row r="5" spans="1:17" x14ac:dyDescent="0.35">
      <c r="A5" s="7">
        <v>1</v>
      </c>
      <c r="B5" s="6" t="s">
        <v>11</v>
      </c>
      <c r="C5" s="8">
        <v>400</v>
      </c>
      <c r="D5" s="9">
        <v>500</v>
      </c>
      <c r="E5" s="6" t="s">
        <v>12</v>
      </c>
      <c r="F5" s="9">
        <f>IF(E5="Exclusive",D5*1,0)</f>
        <v>500</v>
      </c>
      <c r="G5" s="11">
        <v>0.2</v>
      </c>
      <c r="H5" s="9">
        <f>IF(E5="First Paripassu",D5*G5,0)</f>
        <v>0</v>
      </c>
      <c r="I5" s="9"/>
      <c r="J5" s="9">
        <f>IF(E5="Second Paripassu",D5-I5,0)</f>
        <v>0</v>
      </c>
      <c r="K5" s="11"/>
      <c r="L5" s="9">
        <f>J5*K5</f>
        <v>0</v>
      </c>
      <c r="M5" s="9">
        <f>F5+H5+L5</f>
        <v>500</v>
      </c>
      <c r="N5" s="7"/>
      <c r="Q5" t="s">
        <v>12</v>
      </c>
    </row>
    <row r="6" spans="1:17" x14ac:dyDescent="0.35">
      <c r="A6" s="34" t="s">
        <v>9</v>
      </c>
      <c r="B6" s="34"/>
      <c r="C6" s="34"/>
      <c r="D6" s="34"/>
      <c r="E6" s="34"/>
      <c r="F6" s="34"/>
      <c r="G6" s="34"/>
      <c r="H6" s="34"/>
      <c r="I6" s="34"/>
      <c r="J6" s="34"/>
      <c r="K6" s="17"/>
      <c r="L6" s="17"/>
      <c r="M6" s="7"/>
      <c r="N6" s="7"/>
      <c r="Q6" t="s">
        <v>13</v>
      </c>
    </row>
    <row r="7" spans="1:17" ht="27.5" x14ac:dyDescent="0.35">
      <c r="A7" s="7">
        <v>1</v>
      </c>
      <c r="B7" s="6" t="s">
        <v>18</v>
      </c>
      <c r="C7" s="10">
        <v>700</v>
      </c>
      <c r="D7" s="9">
        <v>1500</v>
      </c>
      <c r="E7" s="6" t="s">
        <v>13</v>
      </c>
      <c r="F7" s="9">
        <f>IF(E7="Exclusive",D7*1,0)</f>
        <v>0</v>
      </c>
      <c r="G7" s="11">
        <v>0.5</v>
      </c>
      <c r="H7" s="9">
        <f>IF(E7="First Paripassu",D7*G7,0)</f>
        <v>750</v>
      </c>
      <c r="I7" s="9"/>
      <c r="J7" s="9">
        <f>IF(E7="Second Paripassu",D7-I7,0)</f>
        <v>0</v>
      </c>
      <c r="K7" s="11"/>
      <c r="L7" s="9">
        <f>J7*K7</f>
        <v>0</v>
      </c>
      <c r="M7" s="9">
        <f>F7+H7+L7</f>
        <v>750</v>
      </c>
      <c r="N7" s="7"/>
      <c r="Q7" t="s">
        <v>14</v>
      </c>
    </row>
    <row r="8" spans="1:17" s="4" customFormat="1" x14ac:dyDescent="0.35">
      <c r="A8" s="12"/>
      <c r="B8" s="16" t="s">
        <v>0</v>
      </c>
      <c r="C8" s="13">
        <f>C5+C7</f>
        <v>1100</v>
      </c>
      <c r="D8" s="12"/>
      <c r="E8" s="16"/>
      <c r="F8" s="12"/>
      <c r="G8" s="12"/>
      <c r="H8" s="12"/>
      <c r="I8" s="12"/>
      <c r="J8" s="12"/>
      <c r="K8" s="12"/>
      <c r="L8" s="12"/>
      <c r="M8" s="13">
        <f>M5+M7</f>
        <v>1250</v>
      </c>
      <c r="N8" s="14">
        <f>M8/C8</f>
        <v>1.1363636363636365</v>
      </c>
    </row>
    <row r="9" spans="1:17" x14ac:dyDescent="0.35">
      <c r="A9" s="26" t="s">
        <v>23</v>
      </c>
      <c r="B9" s="27"/>
      <c r="C9" s="7"/>
      <c r="D9" s="7"/>
      <c r="E9" s="6"/>
      <c r="F9" s="7"/>
      <c r="G9" s="7"/>
      <c r="H9" s="7"/>
      <c r="I9" s="7"/>
      <c r="J9" s="7"/>
      <c r="K9" s="7"/>
      <c r="L9" s="7"/>
      <c r="M9" s="7"/>
      <c r="N9" s="7"/>
    </row>
    <row r="10" spans="1:17" x14ac:dyDescent="0.35">
      <c r="A10" s="31" t="s">
        <v>10</v>
      </c>
      <c r="B10" s="31"/>
      <c r="C10" s="7"/>
      <c r="D10" s="7"/>
      <c r="E10" s="6"/>
      <c r="F10" s="7"/>
      <c r="G10" s="7"/>
      <c r="H10" s="7"/>
      <c r="I10" s="7"/>
      <c r="J10" s="7"/>
      <c r="K10" s="7"/>
      <c r="L10" s="7"/>
      <c r="M10" s="7"/>
      <c r="N10" s="7"/>
    </row>
    <row r="11" spans="1:17" ht="27.5" x14ac:dyDescent="0.35">
      <c r="A11" s="7">
        <v>1</v>
      </c>
      <c r="B11" s="6" t="s">
        <v>18</v>
      </c>
      <c r="C11" s="9">
        <v>400</v>
      </c>
      <c r="D11" s="9">
        <v>1500</v>
      </c>
      <c r="E11" s="6" t="s">
        <v>14</v>
      </c>
      <c r="F11" s="9">
        <f>IF(E11="Exclusive",D11*1,0)</f>
        <v>0</v>
      </c>
      <c r="G11" s="9"/>
      <c r="H11" s="9">
        <f>IF(E11="First Paripassu",D11*G11,0)</f>
        <v>0</v>
      </c>
      <c r="I11" s="9">
        <v>1350</v>
      </c>
      <c r="J11" s="9">
        <f>IF(E11="Second Paripassu",D11-I11,0)</f>
        <v>150</v>
      </c>
      <c r="K11" s="11">
        <v>0.2</v>
      </c>
      <c r="L11" s="9">
        <f>J11*K11</f>
        <v>30</v>
      </c>
      <c r="M11" s="9">
        <f>L11+H11+F11</f>
        <v>30</v>
      </c>
      <c r="N11" s="7"/>
      <c r="Q11" t="s">
        <v>12</v>
      </c>
    </row>
    <row r="12" spans="1:17" x14ac:dyDescent="0.35">
      <c r="A12" s="7"/>
      <c r="B12" s="6"/>
      <c r="C12" s="9"/>
      <c r="D12" s="9"/>
      <c r="E12" s="6"/>
      <c r="F12" s="9"/>
      <c r="G12" s="9"/>
      <c r="H12" s="9"/>
      <c r="I12" s="9"/>
      <c r="J12" s="9"/>
      <c r="K12" s="9"/>
      <c r="L12" s="9"/>
      <c r="M12" s="9"/>
      <c r="N12" s="7"/>
    </row>
    <row r="13" spans="1:17" x14ac:dyDescent="0.35">
      <c r="A13" s="31" t="s">
        <v>9</v>
      </c>
      <c r="B13" s="31"/>
      <c r="C13" s="9"/>
      <c r="D13" s="7"/>
      <c r="E13" s="6"/>
      <c r="F13" s="7"/>
      <c r="G13" s="7"/>
      <c r="H13" s="7"/>
      <c r="I13" s="7"/>
      <c r="J13" s="7"/>
      <c r="K13" s="7"/>
      <c r="L13" s="7"/>
      <c r="M13" s="7"/>
      <c r="N13" s="7"/>
    </row>
    <row r="14" spans="1:17" ht="27.5" x14ac:dyDescent="0.35">
      <c r="A14" s="7">
        <v>1</v>
      </c>
      <c r="B14" s="6" t="s">
        <v>19</v>
      </c>
      <c r="C14" s="9">
        <v>700</v>
      </c>
      <c r="D14" s="9">
        <v>3000</v>
      </c>
      <c r="E14" s="6" t="s">
        <v>14</v>
      </c>
      <c r="F14" s="9">
        <f>IF(E14="Exclusive",D14*1,0)</f>
        <v>0</v>
      </c>
      <c r="G14" s="9"/>
      <c r="H14" s="9">
        <f>IF(E14="First Paripassu",D14*G14,0)</f>
        <v>0</v>
      </c>
      <c r="I14" s="9">
        <v>2750</v>
      </c>
      <c r="J14" s="9">
        <f>IF(E14="Second Paripassu",D14-I14,0)</f>
        <v>250</v>
      </c>
      <c r="K14" s="11">
        <v>0.5</v>
      </c>
      <c r="L14" s="9">
        <f>J14*K14</f>
        <v>125</v>
      </c>
      <c r="M14" s="9">
        <f>L14+H14+F14</f>
        <v>125</v>
      </c>
      <c r="N14" s="7"/>
    </row>
    <row r="15" spans="1:17" ht="27.5" x14ac:dyDescent="0.35">
      <c r="A15" s="7"/>
      <c r="B15" s="6" t="s">
        <v>11</v>
      </c>
      <c r="C15" s="9">
        <v>700</v>
      </c>
      <c r="D15" s="9">
        <v>500</v>
      </c>
      <c r="E15" s="6" t="s">
        <v>14</v>
      </c>
      <c r="F15" s="9"/>
      <c r="G15" s="9"/>
      <c r="H15" s="9"/>
      <c r="I15" s="9">
        <v>400</v>
      </c>
      <c r="J15" s="9">
        <f>IF(E15="Second Paripassu",D15-I15,0)</f>
        <v>100</v>
      </c>
      <c r="K15" s="11">
        <v>0.5</v>
      </c>
      <c r="L15" s="9">
        <f>J15*K15</f>
        <v>50</v>
      </c>
      <c r="M15" s="9">
        <f>L15+H15+F15</f>
        <v>50</v>
      </c>
      <c r="N15" s="7"/>
    </row>
    <row r="16" spans="1:17" s="4" customFormat="1" x14ac:dyDescent="0.35">
      <c r="A16" s="12"/>
      <c r="B16" s="16" t="s">
        <v>0</v>
      </c>
      <c r="C16" s="13">
        <f>C11+C14</f>
        <v>1100</v>
      </c>
      <c r="D16" s="12"/>
      <c r="E16" s="16"/>
      <c r="F16" s="12"/>
      <c r="G16" s="12"/>
      <c r="H16" s="12"/>
      <c r="I16" s="12"/>
      <c r="J16" s="12"/>
      <c r="K16" s="12"/>
      <c r="L16" s="12"/>
      <c r="M16" s="13">
        <f>M11+M14</f>
        <v>155</v>
      </c>
      <c r="N16" s="14">
        <f>M16/C16</f>
        <v>0.1409090909090909</v>
      </c>
    </row>
    <row r="17" spans="1:14" x14ac:dyDescent="0.35">
      <c r="A17" s="15"/>
      <c r="B17" s="18"/>
      <c r="C17" s="15"/>
      <c r="D17" s="15"/>
      <c r="E17" s="18"/>
      <c r="F17" s="15"/>
      <c r="G17" s="15"/>
      <c r="H17" s="15"/>
      <c r="I17" s="15"/>
      <c r="J17" s="15"/>
      <c r="K17" s="15"/>
      <c r="L17" s="15"/>
      <c r="M17" s="15"/>
      <c r="N17" s="15"/>
    </row>
    <row r="20" spans="1:14" x14ac:dyDescent="0.35">
      <c r="D20" s="21" t="s">
        <v>27</v>
      </c>
      <c r="E20" s="21"/>
      <c r="F20" s="21"/>
      <c r="G20" s="21"/>
      <c r="H20" s="21"/>
      <c r="I20" s="21"/>
    </row>
  </sheetData>
  <mergeCells count="17">
    <mergeCell ref="A3:B3"/>
    <mergeCell ref="A9:B9"/>
    <mergeCell ref="I1:L1"/>
    <mergeCell ref="A10:B10"/>
    <mergeCell ref="A13:B13"/>
    <mergeCell ref="E1:E2"/>
    <mergeCell ref="F1:F2"/>
    <mergeCell ref="B1:B2"/>
    <mergeCell ref="A1:A2"/>
    <mergeCell ref="A4:J4"/>
    <mergeCell ref="A6:J6"/>
    <mergeCell ref="G1:H1"/>
    <mergeCell ref="C1:C2"/>
    <mergeCell ref="D1:D2"/>
    <mergeCell ref="D20:I20"/>
    <mergeCell ref="M1:M2"/>
    <mergeCell ref="N1:N2"/>
  </mergeCells>
  <dataValidations count="1">
    <dataValidation type="list" allowBlank="1" showInputMessage="1" showErrorMessage="1" sqref="E11:E12 E5 E7 E14:E15" xr:uid="{00000000-0002-0000-0000-000000000000}">
      <formula1>$Q$5:$Q$7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HARIKRISHNAN T2</dc:creator>
  <cp:lastModifiedBy>Surya Jaganathan</cp:lastModifiedBy>
  <dcterms:created xsi:type="dcterms:W3CDTF">2024-08-03T12:10:07Z</dcterms:created>
  <dcterms:modified xsi:type="dcterms:W3CDTF">2026-06-12T10:58:34Z</dcterms:modified>
</cp:coreProperties>
</file>