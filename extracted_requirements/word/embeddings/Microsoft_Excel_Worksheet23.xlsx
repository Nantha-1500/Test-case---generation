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C802C136-462C-4414-BB25-1D84FE1AC95D}" xr6:coauthVersionLast="47" xr6:coauthVersionMax="47" xr10:uidLastSave="{00000000-0000-0000-0000-000000000000}"/>
  <bookViews>
    <workbookView xWindow="1520" yWindow="1520" windowWidth="14620" windowHeight="10970" xr2:uid="{AE8BF180-0A0B-44E9-82F7-6A33AE3E523C}"/>
  </bookViews>
  <sheets>
    <sheet name="DSCR Calculation" sheetId="1" r:id="rId1"/>
  </sheets>
  <calcPr calcId="191029"/>
  <oleSize ref="A1:H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<sst xmlns="http://schemas.openxmlformats.org/spreadsheetml/2006/main" count="25" uniqueCount="25">
  <si>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Interest+Instalments</t>
  </si>
  <si>
    <t>PAT+DEP+Interest</t>
  </si>
  <si>
    <t>Average DSCR</t>
  </si>
  <si>
    <t>DSCR A/B</t>
  </si>
  <si>
    <t>Sub total B</t>
  </si>
  <si>
    <t>Interest on Term Loans including other banks</t>
  </si>
  <si>
    <t>Installment -Other bank</t>
  </si>
  <si>
    <t>Installment our Bank</t>
  </si>
  <si>
    <t>Sub total A</t>
  </si>
  <si>
    <t>Interest on WC</t>
  </si>
  <si>
    <t>Interest on loan for other banks</t>
  </si>
  <si>
    <t>Interest on Term Loan our Bank</t>
  </si>
  <si>
    <t>Cash Accruals</t>
  </si>
  <si>
    <t>Depreciation</t>
  </si>
  <si>
    <t>Net profit</t>
  </si>
  <si>
    <t>Total</t>
  </si>
  <si>
    <t>FY 2028-29</t>
  </si>
  <si>
    <t>FY 2027-28</t>
  </si>
  <si>
    <t>FY 2026-27</t>
  </si>
  <si>
    <t>FY 2025-26</t>
  </si>
  <si>
    <t>FY 2024-25</t>
  </si>
  <si>
    <t>FY 2023-24</t>
  </si>
  <si>
    <t>Particulars</t>
  </si>
  <si>
    <t>DSCR</t>
  </si>
  <si>
    <t>DSCR Calculation=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</si>
</sst>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rebuchet MS"/>
      <family val="2"/>
    </font>
    <font>
      <u/>
      <sz val="16"/>
      <color theme="1"/>
      <name val="Trebuchet MS"/>
      <family val="2"/>
    </font>
    <font>
      <sz val="10"/>
      <color theme="1"/>
      <name val="Trebuchet MS"/>
      <family val="2"/>
    </font>
    <font>
      <sz val="14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/>
    <xf numFmtId="2" fontId="2" fillId="0" borderId="1" xfId="0" applyNumberFormat="1" applyFont="1" applyBorder="1"/>
    <xf numFmtId="2" fontId="0" fillId="0" borderId="1" xfId="0" applyNumberFormat="1" applyBorder="1"/>
    <xf numFmtId="2" fontId="0" fillId="2" borderId="1" xfId="0" applyNumberForma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2" fontId="5" fillId="0" borderId="1" xfId="1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2" fontId="2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8E32-DBE5-4608-B34B-59AAC06EC4DC}">
  <dimension ref="A1:H21"/>
  <sheetViews>
    <sheetView tabSelected="1" workbookViewId="0">
      <selection activeCell="B8" sqref="B8"/>
    </sheetView>
  </sheetViews>
  <sheetFormatPr defaultRowHeight="14.5" x14ac:dyDescent="0.35"/>
  <cols>
    <col min="1" max="1" width="45.453125" customWidth="1"/>
    <col min="2" max="2" width="28.453125" customWidth="1"/>
    <col min="3" max="3" width="14.7265625" customWidth="1"/>
    <col min="4" max="4" width="13.54296875" customWidth="1"/>
  </cols>
  <sheetData>
    <row r="1" spans="1:8" x14ac:dyDescent="0.35">
      <c r="A1" s="4" t="s">
        <v>23</v>
      </c>
      <c r="B1" s="9"/>
      <c r="C1" s="9"/>
      <c r="D1" s="9"/>
      <c r="E1" s="9"/>
      <c r="F1" s="9"/>
      <c r="G1" s="9"/>
      <c r="H1" s="9"/>
    </row>
    <row r="2" spans="1:8" x14ac:dyDescent="0.35">
      <c r="A2" s="12" t="s">
        <v>22</v>
      </c>
      <c r="B2" s="12" t="s">
        <v>21</v>
      </c>
      <c r="C2" s="12" t="s">
        <v>20</v>
      </c>
      <c r="D2" s="12" t="s">
        <v>19</v>
      </c>
      <c r="E2" s="12" t="s">
        <v>18</v>
      </c>
      <c r="F2" s="12" t="s">
        <v>17</v>
      </c>
      <c r="G2" s="12" t="s">
        <v>16</v>
      </c>
      <c r="H2" s="11" t="s">
        <v>15</v>
      </c>
    </row>
    <row r="3" spans="1:8" x14ac:dyDescent="0.35">
      <c r="A3" s="9" t="s">
        <v>14</v>
      </c>
      <c r="B3" s="6"/>
      <c r="C3" s="6"/>
      <c r="D3" s="6"/>
      <c r="E3" s="6"/>
      <c r="F3" s="6"/>
      <c r="G3" s="6"/>
      <c r="H3" s="7">
        <f t="shared" ref="H3:H13" si="0">SUM(B3:G3)</f>
        <v>0</v>
      </c>
    </row>
    <row r="4" spans="1:8" x14ac:dyDescent="0.35">
      <c r="A4" s="9" t="s">
        <v>13</v>
      </c>
      <c r="B4" s="10"/>
      <c r="C4" s="10"/>
      <c r="D4" s="10"/>
      <c r="E4" s="10"/>
      <c r="F4" s="10"/>
      <c r="G4" s="10"/>
      <c r="H4" s="7">
        <f t="shared" si="0"/>
        <v>0</v>
      </c>
    </row>
    <row r="5" spans="1:8" x14ac:dyDescent="0.35">
      <c r="A5" s="9" t="s">
        <v>12</v>
      </c>
      <c r="B5" s="6">
        <f t="shared" ref="B5:G5" si="1">B3+B4</f>
        <v>0</v>
      </c>
      <c r="C5" s="6">
        <f t="shared" si="1"/>
        <v>0</v>
      </c>
      <c r="D5" s="6">
        <f t="shared" si="1"/>
        <v>0</v>
      </c>
      <c r="E5" s="6">
        <f t="shared" si="1"/>
        <v>0</v>
      </c>
      <c r="F5" s="6">
        <f t="shared" si="1"/>
        <v>0</v>
      </c>
      <c r="G5" s="6">
        <f t="shared" si="1"/>
        <v>0</v>
      </c>
      <c r="H5" s="7">
        <f t="shared" si="0"/>
        <v>0</v>
      </c>
    </row>
    <row r="6" spans="1:8" x14ac:dyDescent="0.35">
      <c r="A6" s="9" t="s">
        <v>11</v>
      </c>
      <c r="B6" s="6"/>
      <c r="C6" s="6"/>
      <c r="D6" s="6"/>
      <c r="E6" s="6"/>
      <c r="F6" s="6"/>
      <c r="G6" s="6"/>
      <c r="H6" s="7">
        <f t="shared" si="0"/>
        <v>0</v>
      </c>
    </row>
    <row r="7" spans="1:8" x14ac:dyDescent="0.35">
      <c r="A7" s="9" t="s">
        <v>10</v>
      </c>
      <c r="B7" s="6"/>
      <c r="C7" s="6"/>
      <c r="D7" s="6"/>
      <c r="E7" s="6"/>
      <c r="F7" s="6"/>
      <c r="G7" s="6"/>
      <c r="H7" s="7">
        <f t="shared" si="0"/>
        <v>0</v>
      </c>
    </row>
    <row r="8" spans="1:8" x14ac:dyDescent="0.35">
      <c r="A8" s="9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7">
        <f t="shared" si="0"/>
        <v>0</v>
      </c>
    </row>
    <row r="9" spans="1:8" x14ac:dyDescent="0.35">
      <c r="A9" s="4" t="s">
        <v>8</v>
      </c>
      <c r="B9" s="5">
        <f t="shared" ref="B9:G9" si="2">B5+B6+B7+B8</f>
        <v>0</v>
      </c>
      <c r="C9" s="5">
        <f t="shared" si="2"/>
        <v>0</v>
      </c>
      <c r="D9" s="5">
        <f t="shared" si="2"/>
        <v>0</v>
      </c>
      <c r="E9" s="5">
        <f t="shared" si="2"/>
        <v>0</v>
      </c>
      <c r="F9" s="5">
        <f t="shared" si="2"/>
        <v>0</v>
      </c>
      <c r="G9" s="5">
        <f t="shared" si="2"/>
        <v>0</v>
      </c>
      <c r="H9" s="7">
        <f t="shared" si="0"/>
        <v>0</v>
      </c>
    </row>
    <row r="10" spans="1:8" x14ac:dyDescent="0.35">
      <c r="A10" s="9" t="s">
        <v>7</v>
      </c>
      <c r="B10" s="6"/>
      <c r="C10" s="6"/>
      <c r="D10" s="6"/>
      <c r="E10" s="6"/>
      <c r="F10" s="6"/>
      <c r="G10" s="6"/>
      <c r="H10" s="7">
        <f t="shared" si="0"/>
        <v>0</v>
      </c>
    </row>
    <row r="11" spans="1:8" x14ac:dyDescent="0.35">
      <c r="A11" s="9" t="s">
        <v>6</v>
      </c>
      <c r="B11" s="6"/>
      <c r="C11" s="6"/>
      <c r="D11" s="6"/>
      <c r="E11" s="6"/>
      <c r="F11" s="6"/>
      <c r="G11" s="6"/>
      <c r="H11" s="7">
        <f t="shared" si="0"/>
        <v>0</v>
      </c>
    </row>
    <row r="12" spans="1:8" ht="21.75" customHeight="1" x14ac:dyDescent="0.35">
      <c r="A12" s="8" t="s">
        <v>5</v>
      </c>
      <c r="B12" s="6">
        <f t="shared" ref="B12:G12" si="3">B6+B7+B8</f>
        <v>0</v>
      </c>
      <c r="C12" s="6">
        <f t="shared" si="3"/>
        <v>0</v>
      </c>
      <c r="D12" s="6">
        <f t="shared" si="3"/>
        <v>0</v>
      </c>
      <c r="E12" s="6">
        <f t="shared" si="3"/>
        <v>0</v>
      </c>
      <c r="F12" s="6">
        <f t="shared" si="3"/>
        <v>0</v>
      </c>
      <c r="G12" s="6">
        <f t="shared" si="3"/>
        <v>0</v>
      </c>
      <c r="H12" s="7">
        <f t="shared" si="0"/>
        <v>0</v>
      </c>
    </row>
    <row r="13" spans="1:8" x14ac:dyDescent="0.35">
      <c r="A13" s="4" t="s">
        <v>4</v>
      </c>
      <c r="B13" s="5">
        <f t="shared" ref="B13:G13" si="4">B10+B11+B12</f>
        <v>0</v>
      </c>
      <c r="C13" s="5">
        <f t="shared" si="4"/>
        <v>0</v>
      </c>
      <c r="D13" s="5">
        <f t="shared" si="4"/>
        <v>0</v>
      </c>
      <c r="E13" s="5">
        <f t="shared" si="4"/>
        <v>0</v>
      </c>
      <c r="F13" s="5">
        <f t="shared" si="4"/>
        <v>0</v>
      </c>
      <c r="G13" s="5">
        <f t="shared" si="4"/>
        <v>0</v>
      </c>
      <c r="H13" s="7">
        <f t="shared" si="0"/>
        <v>0</v>
      </c>
    </row>
    <row r="14" spans="1:8" x14ac:dyDescent="0.35">
      <c r="A14" s="4" t="s">
        <v>3</v>
      </c>
      <c r="B14" s="6" t="e">
        <f t="shared" ref="B14:G14" si="5">B9/B13</f>
        <v>#DIV/0!</v>
      </c>
      <c r="C14" s="6" t="e">
        <f t="shared" si="5"/>
        <v>#DIV/0!</v>
      </c>
      <c r="D14" s="6" t="e">
        <f t="shared" si="5"/>
        <v>#DIV/0!</v>
      </c>
      <c r="E14" s="6" t="e">
        <f t="shared" si="5"/>
        <v>#DIV/0!</v>
      </c>
      <c r="F14" s="6" t="e">
        <f t="shared" si="5"/>
        <v>#DIV/0!</v>
      </c>
      <c r="G14" s="6" t="e">
        <f t="shared" si="5"/>
        <v>#DIV/0!</v>
      </c>
      <c r="H14" s="5"/>
    </row>
    <row r="15" spans="1:8" x14ac:dyDescent="0.35">
      <c r="A15" s="4" t="s">
        <v>2</v>
      </c>
      <c r="B15" s="14" t="e">
        <f>H9/H13</f>
        <v>#DIV/0!</v>
      </c>
      <c r="C15" s="14"/>
      <c r="D15" s="14"/>
      <c r="E15" s="14"/>
      <c r="F15" s="14"/>
      <c r="G15" s="14"/>
      <c r="H15" s="14"/>
    </row>
    <row r="19" spans="1:4" ht="20.5" x14ac:dyDescent="0.35">
      <c r="B19" s="1"/>
      <c r="C19" s="3"/>
      <c r="D19" s="3"/>
    </row>
    <row r="20" spans="1:4" ht="20.5" x14ac:dyDescent="0.45">
      <c r="A20" s="13" t="s">
        <v>24</v>
      </c>
      <c r="B20" s="2" t="s">
        <v>1</v>
      </c>
    </row>
    <row r="21" spans="1:4" ht="20.5" x14ac:dyDescent="0.35">
      <c r="B21" s="1" t="s">
        <v>0</v>
      </c>
    </row>
  </sheetData>
  <mergeCells count="1">
    <mergeCell ref="B15:H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DSCR Calculation</vt:lpstr>
    </vt:vector>
  </TitlesOfParts>
  <Company>Union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 Joshi</dc:creator>
  <cp:lastModifiedBy>Surya Jaganathan</cp:lastModifiedBy>
  <dcterms:created xsi:type="dcterms:W3CDTF">2025-06-06T05:25:27Z</dcterms:created>
  <dcterms:modified xsi:type="dcterms:W3CDTF">2026-06-12T10:55:48Z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8493fcc9-6f52-4a2a-a025-edad487298cf</vt:lpwstr>
  </property>
  <property fmtid="{D5CDD505-2E9C-101B-9397-08002B2CF9AE}" pid="3" name="PICSfield">
    <vt:lpwstr>Internal</vt:lpwstr>
  </property>
</Properties>
</file>